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 descriptions" sheetId="1" state="visible" r:id="rId3"/>
    <sheet name="Summering" sheetId="2" state="visible" r:id="rId4"/>
  </sheets>
  <definedNames>
    <definedName function="false" hidden="true" localSheetId="0" name="_xlnm._FilterDatabase" vbProcedure="false">'Meta descriptions'!$A$1:$G$42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<sst xmlns="http://schemas.openxmlformats.org/spreadsheetml/2006/main" count="216" uniqueCount="142">
  <si>
    <t xml:space="preserve">Sidtyp</t>
  </si>
  <si>
    <t xml:space="preserve">Filnamn</t>
  </si>
  <si>
    <t xml:space="preserve">Nuvarande meta description</t>
  </si>
  <si>
    <t xml:space="preserve">Tecken</t>
  </si>
  <si>
    <t xml:space="preserve">Status</t>
  </si>
  <si>
    <t xml:space="preserve">Ny meta description (fyll i här)</t>
  </si>
  <si>
    <t xml:space="preserve">Tecken (ny)</t>
  </si>
  <si>
    <t xml:space="preserve">Startsida</t>
  </si>
  <si>
    <t xml:space="preserve">index.html</t>
  </si>
  <si>
    <t xml:space="preserve">Hitta din run club i Sverige. Vi listar run clubs i Stockholm, Göteborg och Malmö — med beskrivningar, tider och filtreringssystem.</t>
  </si>
  <si>
    <t xml:space="preserve">OK</t>
  </si>
  <si>
    <t xml:space="preserve">Hitta de coolaste löpargrupperna och run clubs i Stockholm, Göteborg och Malmö. För dig som jagar PB — eller bara vill hänga med sköna människor.</t>
  </si>
  <si>
    <t xml:space="preserve">Stadssida</t>
  </si>
  <si>
    <t xml:space="preserve">goteborg.html</t>
  </si>
  <si>
    <t xml:space="preserve">Hitta din run club i Göteborg. Vi listar run clubs i Göteborg med beskrivningar, tider och filtreringssystem.</t>
  </si>
  <si>
    <t xml:space="preserve">Göteborgs skönaste löpargrupper — Slottsskogen, Änggårdsbergen, Delsjön. Filtrera på dag och nivå, hitta din crew och hoppa på.</t>
  </si>
  <si>
    <t xml:space="preserve">malmo.html</t>
  </si>
  <si>
    <t xml:space="preserve">Hitta din run club i Malmö. Vi listar run clubs i Malmö med beskrivningar, tider och filtreringssystem.</t>
  </si>
  <si>
    <t xml:space="preserve">Malmös coolaste löpargrupper — från Ribersborg till afterrun-öl och månadsresor till Köpenhamn. Hitta din crew och börja springa.</t>
  </si>
  <si>
    <t xml:space="preserve">stockholm.html</t>
  </si>
  <si>
    <t xml:space="preserve">Hitta din run club i Stockholm. Vi listar 23 run clubs i Stockholm med beskrivningar, tider och filtreringssystem.</t>
  </si>
  <si>
    <t xml:space="preserve">Stockholms 23 coolaste löpargrupper — från morgonlöp i Hagaparken till after work på Södermalm. Hitta din crew och dra igång.</t>
  </si>
  <si>
    <t xml:space="preserve">Sajtsida</t>
  </si>
  <si>
    <t xml:space="preserve">klubb.html</t>
  </si>
  <si>
    <t xml:space="preserve">Saknas</t>
  </si>
  <si>
    <t xml:space="preserve">Upptäck en löpargrupp — tider, startplats, nivå och vad som väntar. Hitta din crew och dra på dig skorna.</t>
  </si>
  <si>
    <t xml:space="preserve">kommande-lopp.html</t>
  </si>
  <si>
    <t xml:space="preserve">Hitta kommande löptävlingar i Sverige — Stockholm, Göteborg och Malmö. 10 km, halvmaraton, maraton och mer.</t>
  </si>
  <si>
    <t xml:space="preserve">Kommande löptävlingar i Sverige — 10 km, halvmaraton och marathon i Stockholm, Göteborg och Malmö. Hitta ditt nästa lopp.</t>
  </si>
  <si>
    <t xml:space="preserve">kontakt.html</t>
  </si>
  <si>
    <t xml:space="preserve">Kontakta Swedish Run Clubs — tipsa om en klubb, skicka nyhetstips eller fråga om samarbete.</t>
  </si>
  <si>
    <t xml:space="preserve">Tipsa om en klubb, skicka nyhetstips eller dra igång ett samarbete. Hör av dig — vi svarar oftast samma dag.</t>
  </si>
  <si>
    <t xml:space="preserve">nyheter.html</t>
  </si>
  <si>
    <t xml:space="preserve">Senaste nytt från den svenska löparvärlden — run club-trender, lopp och nyheter från Stockholm, Göteborg och Malmö.</t>
  </si>
  <si>
    <t xml:space="preserve">Senaste nytt från svenska löparvärlden — trender, lopp, klubb-drop och grejer att ha koll på. Uppdateras varje vecka.</t>
  </si>
  <si>
    <t xml:space="preserve">om-oss.html</t>
  </si>
  <si>
    <t xml:space="preserve">Swedish Run Clubs är sajten jag saknade när jag skulle börja springa igen. Byggt av Amanda Hultin, konsult inom hälsa och livsstil.</t>
  </si>
  <si>
    <t xml:space="preserve">Sajten för dig som letar en löpargrupp att hänga med. Läs om idén bakom Swedish Run Clubs, vilka klubbar vi listar och vad som kommer härnäst.</t>
  </si>
  <si>
    <t xml:space="preserve">samarbeta.html</t>
  </si>
  <si>
    <t xml:space="preserve">Nå Sveriges mest engagerade löpare genom Swedish Run Clubs. Nyhetsbrev, sajt och sociala medier — vi hjälper dig nå rätt målgrupp.</t>
  </si>
  <si>
    <t xml:space="preserve">Nå Sveriges mest engagerade löpare — via sajt, nyhetsbrev och sociala medier. Bygg en kampanj som landar. Dra igång snacket här.</t>
  </si>
  <si>
    <t xml:space="preserve">Nyhetsinlägg</t>
  </si>
  <si>
    <t xml:space="preserve">stockholm-marathon-2026-slutsalt.html</t>
  </si>
  <si>
    <t xml:space="preserve">Stockholm Marathon 2026 är slutsålt på rekordtid — 25 000 startplatser fyllda. Läs mer om loppet den 30 maj.</t>
  </si>
  <si>
    <t xml:space="preserve">Stockholm Marathon 2026 slutsålt på rekordtid — 25 000 platser borta. Läs om loppet den 30 maj och vad det säger om löparåret.</t>
  </si>
  <si>
    <t xml:space="preserve">tjejer-tar-over-lopsparen.html</t>
  </si>
  <si>
    <t xml:space="preserve">Tjejer tar över löpspåren — aldrig har så många tjejer sprungit i grupp. Läs om trenden som sveper över Sverige.</t>
  </si>
  <si>
    <t xml:space="preserve">Aldrig har så många tjejer sprungit i grupp. Läs om trenden som sveper över Sverige — och hitta en grupp att hänga med.</t>
  </si>
  <si>
    <t xml:space="preserve">Klubbsida</t>
  </si>
  <si>
    <t xml:space="preserve">aero-boys-club.html</t>
  </si>
  <si>
    <t xml:space="preserve">Aero Boys Club — hemlig löpargrupp i Göteborg. Mer info kommer när vi får det.</t>
  </si>
  <si>
    <t xml:space="preserve">Kort (&lt;80)</t>
  </si>
  <si>
    <t xml:space="preserve">Aero Boys Club — Göteborgs mest hemlighetsfulla löpargrupp. Info kommer. Håll koll här så missar du inget drop.</t>
  </si>
  <si>
    <t xml:space="preserve">andmorerunning.html</t>
  </si>
  <si>
    <t xml:space="preserve">&amp;morerunning — nystartad löpargrupp för tjejer i Stockholm. Söndagar 11:00.</t>
  </si>
  <si>
    <t xml:space="preserve">&amp;morerunning — nystartad Stockholmsklubb för tjejer. Söndagar 11:00, chill tempo, bra sällskap. Kom och testa första passet.</t>
  </si>
  <si>
    <t xml:space="preserve">burgers-n-brew-run-crew.html</t>
  </si>
  <si>
    <t xml:space="preserve">Burgers 'N' Brew Run Crew — intervallklubb i Stockholm sedan 2017. Onsdagar 18:20.</t>
  </si>
  <si>
    <t xml:space="preserve">Stockholms intervallkollektiv sedan 2017. Onsdagar — snabbare ben, burgare och öl efter passet. Häng med.</t>
  </si>
  <si>
    <t xml:space="preserve">core-run-club.html</t>
  </si>
  <si>
    <t xml:space="preserve">Core Run Club Göteborg — löpargrupp för tjejer. Både distans och tempopass.</t>
  </si>
  <si>
    <t xml:space="preserve">Core Run Club Göteborg — crew för tjejer. Distans och tempopass varvat. Bli starkare, snabbare och hitta ditt nya hängäng.</t>
  </si>
  <si>
    <t xml:space="preserve">dopest-runners.html</t>
  </si>
  <si>
    <t xml:space="preserve">Dopest Runners i Stockholm — grundad 2021 av Ninos och Kristian Icho. Tränar tisdagar, torsdagar och söndagar från Liljeholmen. Bag drop på varje pass.</t>
  </si>
  <si>
    <t xml:space="preserve">Stockholms Dopest Runners — tisdagar, torsdagar och söndagar från Liljeholmen. Bag drop på varje pass. Alla nivåer, dyk in.</t>
  </si>
  <si>
    <t xml:space="preserve">east-run-club.html</t>
  </si>
  <si>
    <t xml:space="preserve">East Run Club Göteborg — löpargrupp som ordnar event. Waernsgatan 4A.</t>
  </si>
  <si>
    <t xml:space="preserve">East Run Club Göteborg — löpargruppen som ordnar events. Start från Waernsgatan 4A. Alla nivåer välkomna — häng med.</t>
  </si>
  <si>
    <t xml:space="preserve">ess-runners-club.html</t>
  </si>
  <si>
    <t xml:space="preserve">ESS Runners Club — morgonlöpargrupp i Göteborg. Torsdagar 07:00 med frukost efteråt.</t>
  </si>
  <si>
    <t xml:space="preserve">Torsdagsmorgnar 07:00 när Göteborg vaknar. Löpning, snack och frukostmingel efteråt. Gratis — hoppa på och testa vibben.</t>
  </si>
  <si>
    <t xml:space="preserve">goteborg-running-club.html</t>
  </si>
  <si>
    <t xml:space="preserve">Göteborg Running Club — grundad 2011, en av Göteborgs mest välkomnande löparklubbar. Gratis träning varje tisdag kl 18:00 i Slottsskogen.</t>
  </si>
  <si>
    <t xml:space="preserve">Göteborgs mest välkomnande löparklubb sedan 2011. Gratis pass varje tisdag 18:00 i Slottsskogen. Ingen anmälan — bara dyk in.</t>
  </si>
  <si>
    <t xml:space="preserve">hogdalen-run-club.html</t>
  </si>
  <si>
    <t xml:space="preserve">Högdalen Run Club — lokal löpargrupp i södra Stockholm som välkomnar alla, oavsett nivå.</t>
  </si>
  <si>
    <t xml:space="preserve">Högdalen Run Club — lokal crew i södra Stockholm. Alla nivåer välkomna, inget krav på snabba ben. Dyk in när du vill.</t>
  </si>
  <si>
    <t xml:space="preserve">lopning-for-tjejer.html</t>
  </si>
  <si>
    <t xml:space="preserve">Löpning för tjejer — Facebook-grupp i Stockholm där tjejer hittar löparsällskap.</t>
  </si>
  <si>
    <t xml:space="preserve">Löpning för tjejer — Stockholms största Facebook-grupp för att hitta löparsällskap. Gratis, chill, alla tempon välkomna.</t>
  </si>
  <si>
    <t xml:space="preserve">mellqvist-run-club.html</t>
  </si>
  <si>
    <t xml:space="preserve">Mellqvist Run Club — nystartad löpargrupp i Stockholm med fokus på kaffe och frukost efter passet.</t>
  </si>
  <si>
    <t xml:space="preserve">Nystartad Stockholmsklubb där kaffet och frukosten är halva grejen. Springer för bullen — och ett av stans bästa kaffe. Häng med.</t>
  </si>
  <si>
    <t xml:space="preserve">mikkeller-running-club-sthlm.html</t>
  </si>
  <si>
    <t xml:space="preserve">Mikkeller Running Club Stockholm — globalt löparcommunity sedan 10 år. Onsdagar 18:00 från Mikkeller Bar.</t>
  </si>
  <si>
    <t xml:space="preserve">Mikkeller Running Club Stockholm — globalt community sedan 10 år. Onsdagar 18:00 från Mikkeller Bar. Öl efter. Dyk in.</t>
  </si>
  <si>
    <t xml:space="preserve"> mrc-malmo.html</t>
  </si>
  <si>
    <t xml:space="preserve">[DUBBLETT — ta bort. Uppdaterad version finns i mrc-malmo.html (utan mellanslag).]</t>
  </si>
  <si>
    <t xml:space="preserve">mrc-malmo.html</t>
  </si>
  <si>
    <t xml:space="preserve">MRC Malmö — en av Malmös mest aktiva löparklubbar. Social run med afterrun-öl och månatliga resor till Köpenhamn.</t>
  </si>
  <si>
    <t xml:space="preserve">Malmös mest aktiva löparklubb — social run med afterrun-öl och månadsresor till Köpenhamn. Bra vibes, alla nivåer. Häng med.</t>
  </si>
  <si>
    <t xml:space="preserve">pulse-pacers.html</t>
  </si>
  <si>
    <t xml:space="preserve">Pulse Pacers — 5 km-löpargrupp i Stockholm. Onsdagar 18:30 från The King's Fox.</t>
  </si>
  <si>
    <t xml:space="preserve">Pulse Pacers — 5 km-crew i Stockholm. Onsdagar 18:30 från The King's Fox. Perfekt för nybörjare och chill tempo. Häng med.</t>
  </si>
  <si>
    <t xml:space="preserve">run-collective-stockholm.html</t>
  </si>
  <si>
    <t xml:space="preserve">Run Collective Stockholm — löpargrupp sedan 2022. Tisdagar &amp; lördagar från Biscuitkonditoriet på Södermalm.</t>
  </si>
  <si>
    <t xml:space="preserve">Run Collective Stockholm sedan 2022. Tisdagar och lördagar från Biscuitkonditoriet på Södermalm. Alla nivåer — dyk in.</t>
  </si>
  <si>
    <t xml:space="preserve">runday.html</t>
  </si>
  <si>
    <t xml:space="preserve">Runday — löpargrupp i Stockholm. Intervaller och tröskelpass måndagar och onsdagar 18:00.</t>
  </si>
  <si>
    <t xml:space="preserve">Runday Stockholm — för dig som vill springa snabbare. Intervaller och tröskelpass måndagar och onsdagar 18:00. Kom och testa.</t>
  </si>
  <si>
    <t xml:space="preserve">she-runs-club.html</t>
  </si>
  <si>
    <t xml:space="preserve">She Runs Club Göteborg — löpargrupp för tjejer som vill utmana sig själva i en varm, inkluderande miljö.</t>
  </si>
  <si>
    <t xml:space="preserve">She Runs Club Göteborg — crew för tjejer som vill utmana sig själva. Varm, inkluderande vibe, alla nivåer. Häng med.</t>
  </si>
  <si>
    <t xml:space="preserve">slowrunners-goteborg.html</t>
  </si>
  <si>
    <t xml:space="preserve">Slowrunners Göteborg — löpargrupp för dig som vill springa i lugnt tempo. Söndagar 10:00 Redbergsplatsen.</t>
  </si>
  <si>
    <t xml:space="preserve">Slowrunners Göteborg — för dig som vill springa chill. Söndagar 10:00 från Redbergsplatsen. Inget tempokrav, bara bra sällskap.</t>
  </si>
  <si>
    <t xml:space="preserve">slowrunners-sthlm.html</t>
  </si>
  <si>
    <t xml:space="preserve">Slowrunners Sthlm — löpargrupp för dig som vill ta det lugnt. Söndagar 10:00 vid Tanto utegym.</t>
  </si>
  <si>
    <t xml:space="preserve">Slowrunners Sthlm — för dig som tar det lugnt. Söndagar 10:00 vid Tanto utegym. Inget tempokrav, bara bra sällskap.</t>
  </si>
  <si>
    <t xml:space="preserve">soderloparna-stockholm.html</t>
  </si>
  <si>
    <t xml:space="preserve">Söderlöparna Stockholm — lugn lördagslöpning från Gullmarsplan med fikastopp efteråt.</t>
  </si>
  <si>
    <t xml:space="preserve">Söderlöparna Stockholm — chill lördagslöpning från Gullmarsplan med fikastopp efteråt. Bra sällskap, alla välkomna.</t>
  </si>
  <si>
    <t xml:space="preserve">solemates-runclub.html</t>
  </si>
  <si>
    <t xml:space="preserve">Solemates Runclub Stockholm — social löpargrupp för alla nivåer. Tisdagar 19:30 från Karlavägen.</t>
  </si>
  <si>
    <t xml:space="preserve">Solemates Runclub Stockholm — social löpargrupp för alla nivåer. Tisdagar 19:30 från Karlavägen. Ingen anmälan, bara dyk in.</t>
  </si>
  <si>
    <t xml:space="preserve">stockholm-run-club.html</t>
  </si>
  <si>
    <t xml:space="preserve">Stockholm Run Club — gratis löparklubb för alla nivåer. Tränar tisdagar och söndagar på Östermalm. Grundad 2020, driven av Adidas och Red Bull.</t>
  </si>
  <si>
    <t xml:space="preserve">Gratis löparklubb för alla nivåer — tisdagar och söndagar på Östermalm. Grundad 2020, backad av Adidas och Red Bull. Dyk in.</t>
  </si>
  <si>
    <t xml:space="preserve">svedjans-lopsallskap.html</t>
  </si>
  <si>
    <t xml:space="preserve">Svedjans Löpsällskap — löparsällskap i Stockholm som gillar bullar. Måndagar från Svedjan Bageri.</t>
  </si>
  <si>
    <t xml:space="preserve">Löparsällskapet som gillar bullar. Måndagar 17:00 från Svedjan Bageri — bra sällskap, magiska bakverk, gratis. Häng med.</t>
  </si>
  <si>
    <t xml:space="preserve">sweden-runners-goteborg.html</t>
  </si>
  <si>
    <t xml:space="preserve">Sweden Runners Göteborg — ledarledda löparpass i Änggårdsbergen varje torsdag kl 18:00. Alla nivåer välkomna. 649 kr/år, täcks av friskvårdsbidrag.</t>
  </si>
  <si>
    <t xml:space="preserve">Sweden Runners Göteborg — ledarledda pass i Änggårdsbergen varje torsdag 18:00. Alla nivåer. 649 kr/år, friskvårdsbidrag ok.</t>
  </si>
  <si>
    <t xml:space="preserve"> sweden-runners-malmo.html</t>
  </si>
  <si>
    <t xml:space="preserve">[FIXA FILNAMNET — denna har ett ledande mellanslag. Döp om till sweden-runners-malmo.html och skriv in ny meta description.]</t>
  </si>
  <si>
    <t xml:space="preserve">triple-threshold-rc.html</t>
  </si>
  <si>
    <t xml:space="preserve">Triple Threshold RC — löparcommunion på Södermalm. Långpass och intervaller, ons + lör.</t>
  </si>
  <si>
    <t xml:space="preserve">Triple Threshold RC — Södermalms löparcommunity. Långpass och intervaller, onsdagar och lördagar. Alla välkomna — häng på.</t>
  </si>
  <si>
    <t xml:space="preserve">yo-running-club.html</t>
  </si>
  <si>
    <t xml:space="preserve">Yo Running Club i Stockholm — en av stadens mest populära löparklubbar. Tränar tisdagar och lördagar från Torsgatan 40 i Vasastan.</t>
  </si>
  <si>
    <t xml:space="preserve">Yo Running Club — en av Stockholms mest populära löparklubbar. Tisdagar och lördagar från Torsgatan 40 i Vasastan. Dyk in.</t>
  </si>
  <si>
    <t xml:space="preserve">zlk-zinken-lopklubb.html</t>
  </si>
  <si>
    <t xml:space="preserve">ZLK Zinken Löpklubb — glad löparklubb i Stockholm. Onsdagar från Zinkensdamms IP.</t>
  </si>
  <si>
    <t xml:space="preserve">ZLK Zinken Löpklubb — glada löpare i Stockholm. Onsdagar från Zinkensdamms IP. Bra vibes, alla nivåer, ingen anmälan.</t>
  </si>
  <si>
    <t xml:space="preserve">Statistik</t>
  </si>
  <si>
    <t xml:space="preserve">Antal sidor totalt</t>
  </si>
  <si>
    <t xml:space="preserve">Antal OK</t>
  </si>
  <si>
    <t xml:space="preserve">Antal korta (&lt;80)</t>
  </si>
  <si>
    <t xml:space="preserve">Antal långa (&gt;155)</t>
  </si>
  <si>
    <t xml:space="preserve">Antal som saknas</t>
  </si>
  <si>
    <t xml:space="preserve">Dubbletter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</si>
</sst>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C2A45"/>
        <bgColor rgb="FF003366"/>
      </patternFill>
    </fill>
    <fill>
      <patternFill patternType="solid">
        <fgColor rgb="FFD4EDDA"/>
        <bgColor rgb="FFDDDDDD"/>
      </patternFill>
    </fill>
    <fill>
      <patternFill patternType="solid">
        <fgColor rgb="FFFFF8E1"/>
        <bgColor rgb="FFFFF3CD"/>
      </patternFill>
    </fill>
    <fill>
      <patternFill patternType="solid">
        <fgColor rgb="FFF8D7DA"/>
        <bgColor rgb="FFDDDDDD"/>
      </patternFill>
    </fill>
    <fill>
      <patternFill patternType="solid">
        <fgColor rgb="FFFFF3CD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C2A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3CD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A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8"/>
    <col collapsed="false" customWidth="true" hidden="false" outlineLevel="0" max="3" min="3" style="1" width="60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60"/>
    <col collapsed="false" customWidth="true" hidden="false" outlineLevel="0" max="7" min="7" style="1" width="11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23.25" hidden="false" customHeight="true" outlineLevel="0" collapsed="false">
      <c r="A2" s="3" t="s">
        <v>7</v>
      </c>
      <c r="B2" s="3" t="s">
        <v>8</v>
      </c>
      <c r="C2" s="4" t="s">
        <v>9</v>
      </c>
      <c r="D2" s="5" t="n">
        <f aca="false">LEN(C2)</f>
        <v>131</v>
      </c>
      <c r="E2" s="6" t="s">
        <v>10</v>
      </c>
      <c r="F2" s="7" t="s">
        <v>11</v>
      </c>
      <c r="G2" s="5" t="n">
        <f aca="false">IF(F2="","",LEN(F2))</f>
        <v>145</v>
      </c>
    </row>
    <row r="3" customFormat="false" ht="23.25" hidden="false" customHeight="true" outlineLevel="0" collapsed="false">
      <c r="A3" s="3" t="s">
        <v>12</v>
      </c>
      <c r="B3" s="3" t="s">
        <v>13</v>
      </c>
      <c r="C3" s="4" t="s">
        <v>14</v>
      </c>
      <c r="D3" s="5" t="n">
        <f aca="false">LEN(C3)</f>
        <v>109</v>
      </c>
      <c r="E3" s="6" t="s">
        <v>10</v>
      </c>
      <c r="F3" s="7" t="s">
        <v>15</v>
      </c>
      <c r="G3" s="5" t="n">
        <f aca="false">IF(F3="","",LEN(F3))</f>
        <v>127</v>
      </c>
    </row>
    <row r="4" customFormat="false" ht="23.25" hidden="false" customHeight="true" outlineLevel="0" collapsed="false">
      <c r="A4" s="3" t="s">
        <v>12</v>
      </c>
      <c r="B4" s="3" t="s">
        <v>16</v>
      </c>
      <c r="C4" s="4" t="s">
        <v>17</v>
      </c>
      <c r="D4" s="5" t="n">
        <f aca="false">LEN(C4)</f>
        <v>103</v>
      </c>
      <c r="E4" s="6" t="s">
        <v>10</v>
      </c>
      <c r="F4" s="7" t="s">
        <v>18</v>
      </c>
      <c r="G4" s="5" t="n">
        <f aca="false">IF(F4="","",LEN(F4))</f>
        <v>129</v>
      </c>
    </row>
    <row r="5" customFormat="false" ht="23.25" hidden="false" customHeight="true" outlineLevel="0" collapsed="false">
      <c r="A5" s="3" t="s">
        <v>12</v>
      </c>
      <c r="B5" s="3" t="s">
        <v>19</v>
      </c>
      <c r="C5" s="4" t="s">
        <v>20</v>
      </c>
      <c r="D5" s="5" t="n">
        <f aca="false">LEN(C5)</f>
        <v>114</v>
      </c>
      <c r="E5" s="6" t="s">
        <v>10</v>
      </c>
      <c r="F5" s="7" t="s">
        <v>21</v>
      </c>
      <c r="G5" s="5" t="n">
        <f aca="false">IF(F5="","",LEN(F5))</f>
        <v>125</v>
      </c>
    </row>
    <row r="6" customFormat="false" ht="15" hidden="false" customHeight="true" outlineLevel="0" collapsed="false">
      <c r="A6" s="3" t="s">
        <v>22</v>
      </c>
      <c r="B6" s="3" t="s">
        <v>23</v>
      </c>
      <c r="C6" s="4"/>
      <c r="D6" s="5" t="n">
        <f aca="false">LEN(C6)</f>
        <v>0</v>
      </c>
      <c r="E6" s="8" t="s">
        <v>24</v>
      </c>
      <c r="F6" s="7" t="s">
        <v>25</v>
      </c>
      <c r="G6" s="5" t="n">
        <f aca="false">IF(F6="","",LEN(F6))</f>
        <v>105</v>
      </c>
    </row>
    <row r="7" customFormat="false" ht="23.25" hidden="false" customHeight="true" outlineLevel="0" collapsed="false">
      <c r="A7" s="3" t="s">
        <v>22</v>
      </c>
      <c r="B7" s="3" t="s">
        <v>26</v>
      </c>
      <c r="C7" s="4" t="s">
        <v>27</v>
      </c>
      <c r="D7" s="5" t="n">
        <f aca="false">LEN(C7)</f>
        <v>107</v>
      </c>
      <c r="E7" s="6" t="s">
        <v>10</v>
      </c>
      <c r="F7" s="7" t="s">
        <v>28</v>
      </c>
      <c r="G7" s="5" t="n">
        <f aca="false">IF(F7="","",LEN(F7))</f>
        <v>121</v>
      </c>
    </row>
    <row r="8" customFormat="false" ht="23.25" hidden="false" customHeight="true" outlineLevel="0" collapsed="false">
      <c r="A8" s="3" t="s">
        <v>22</v>
      </c>
      <c r="B8" s="3" t="s">
        <v>29</v>
      </c>
      <c r="C8" s="4" t="s">
        <v>30</v>
      </c>
      <c r="D8" s="5" t="n">
        <f aca="false">LEN(C8)</f>
        <v>91</v>
      </c>
      <c r="E8" s="6" t="s">
        <v>10</v>
      </c>
      <c r="F8" s="7" t="s">
        <v>31</v>
      </c>
      <c r="G8" s="5" t="n">
        <f aca="false">IF(F8="","",LEN(F8))</f>
        <v>108</v>
      </c>
    </row>
    <row r="9" customFormat="false" ht="23.25" hidden="false" customHeight="true" outlineLevel="0" collapsed="false">
      <c r="A9" s="3" t="s">
        <v>22</v>
      </c>
      <c r="B9" s="3" t="s">
        <v>32</v>
      </c>
      <c r="C9" s="4" t="s">
        <v>33</v>
      </c>
      <c r="D9" s="5" t="n">
        <f aca="false">LEN(C9)</f>
        <v>115</v>
      </c>
      <c r="E9" s="6" t="s">
        <v>10</v>
      </c>
      <c r="F9" s="7" t="s">
        <v>34</v>
      </c>
      <c r="G9" s="5" t="n">
        <f aca="false">IF(F9="","",LEN(F9))</f>
        <v>117</v>
      </c>
    </row>
    <row r="10" customFormat="false" ht="23.25" hidden="false" customHeight="true" outlineLevel="0" collapsed="false">
      <c r="A10" s="3" t="s">
        <v>22</v>
      </c>
      <c r="B10" s="3" t="s">
        <v>35</v>
      </c>
      <c r="C10" s="4" t="s">
        <v>36</v>
      </c>
      <c r="D10" s="5" t="n">
        <f aca="false">LEN(C10)</f>
        <v>131</v>
      </c>
      <c r="E10" s="6" t="s">
        <v>10</v>
      </c>
      <c r="F10" s="7" t="s">
        <v>37</v>
      </c>
      <c r="G10" s="5" t="n">
        <f aca="false">IF(F10="","",LEN(F10))</f>
        <v>142</v>
      </c>
    </row>
    <row r="11" customFormat="false" ht="23.25" hidden="false" customHeight="true" outlineLevel="0" collapsed="false">
      <c r="A11" s="3" t="s">
        <v>22</v>
      </c>
      <c r="B11" s="3" t="s">
        <v>38</v>
      </c>
      <c r="C11" s="4" t="s">
        <v>39</v>
      </c>
      <c r="D11" s="5" t="n">
        <f aca="false">LEN(C11)</f>
        <v>130</v>
      </c>
      <c r="E11" s="6" t="s">
        <v>10</v>
      </c>
      <c r="F11" s="7" t="s">
        <v>40</v>
      </c>
      <c r="G11" s="5" t="n">
        <f aca="false">IF(F11="","",LEN(F11))</f>
        <v>128</v>
      </c>
    </row>
    <row r="12" customFormat="false" ht="23.25" hidden="false" customHeight="true" outlineLevel="0" collapsed="false">
      <c r="A12" s="3" t="s">
        <v>41</v>
      </c>
      <c r="B12" s="3" t="s">
        <v>42</v>
      </c>
      <c r="C12" s="4" t="s">
        <v>43</v>
      </c>
      <c r="D12" s="5" t="n">
        <f aca="false">LEN(C12)</f>
        <v>108</v>
      </c>
      <c r="E12" s="6" t="s">
        <v>10</v>
      </c>
      <c r="F12" s="7" t="s">
        <v>44</v>
      </c>
      <c r="G12" s="5" t="n">
        <f aca="false">IF(F12="","",LEN(F12))</f>
        <v>126</v>
      </c>
    </row>
    <row r="13" customFormat="false" ht="23.25" hidden="false" customHeight="true" outlineLevel="0" collapsed="false">
      <c r="A13" s="3" t="s">
        <v>41</v>
      </c>
      <c r="B13" s="3" t="s">
        <v>45</v>
      </c>
      <c r="C13" s="4" t="s">
        <v>46</v>
      </c>
      <c r="D13" s="5" t="n">
        <f aca="false">LEN(C13)</f>
        <v>112</v>
      </c>
      <c r="E13" s="6" t="s">
        <v>10</v>
      </c>
      <c r="F13" s="7" t="s">
        <v>47</v>
      </c>
      <c r="G13" s="5" t="n">
        <f aca="false">IF(F13="","",LEN(F13))</f>
        <v>119</v>
      </c>
    </row>
    <row r="14" customFormat="false" ht="23.25" hidden="false" customHeight="true" outlineLevel="0" collapsed="false">
      <c r="A14" s="3" t="s">
        <v>48</v>
      </c>
      <c r="B14" s="3" t="s">
        <v>49</v>
      </c>
      <c r="C14" s="4" t="s">
        <v>50</v>
      </c>
      <c r="D14" s="5" t="n">
        <f aca="false">LEN(C14)</f>
        <v>78</v>
      </c>
      <c r="E14" s="9" t="s">
        <v>51</v>
      </c>
      <c r="F14" s="7" t="s">
        <v>52</v>
      </c>
      <c r="G14" s="5" t="n">
        <f aca="false">IF(F14="","",LEN(F14))</f>
        <v>111</v>
      </c>
    </row>
    <row r="15" customFormat="false" ht="23.25" hidden="false" customHeight="true" outlineLevel="0" collapsed="false">
      <c r="A15" s="3" t="s">
        <v>48</v>
      </c>
      <c r="B15" s="3" t="s">
        <v>53</v>
      </c>
      <c r="C15" s="4" t="s">
        <v>54</v>
      </c>
      <c r="D15" s="5" t="n">
        <f aca="false">LEN(C15)</f>
        <v>75</v>
      </c>
      <c r="E15" s="9" t="s">
        <v>51</v>
      </c>
      <c r="F15" s="7" t="s">
        <v>55</v>
      </c>
      <c r="G15" s="5" t="n">
        <f aca="false">IF(F15="","",LEN(F15))</f>
        <v>124</v>
      </c>
    </row>
    <row r="16" customFormat="false" ht="23.25" hidden="false" customHeight="true" outlineLevel="0" collapsed="false">
      <c r="A16" s="3" t="s">
        <v>48</v>
      </c>
      <c r="B16" s="3" t="s">
        <v>56</v>
      </c>
      <c r="C16" s="4" t="s">
        <v>57</v>
      </c>
      <c r="D16" s="5" t="n">
        <f aca="false">LEN(C16)</f>
        <v>82</v>
      </c>
      <c r="E16" s="6" t="s">
        <v>10</v>
      </c>
      <c r="F16" s="7" t="s">
        <v>58</v>
      </c>
      <c r="G16" s="5" t="n">
        <f aca="false">IF(F16="","",LEN(F16))</f>
        <v>105</v>
      </c>
    </row>
    <row r="17" customFormat="false" ht="23.25" hidden="false" customHeight="true" outlineLevel="0" collapsed="false">
      <c r="A17" s="3" t="s">
        <v>48</v>
      </c>
      <c r="B17" s="3" t="s">
        <v>59</v>
      </c>
      <c r="C17" s="4" t="s">
        <v>60</v>
      </c>
      <c r="D17" s="5" t="n">
        <f aca="false">LEN(C17)</f>
        <v>75</v>
      </c>
      <c r="E17" s="9" t="s">
        <v>51</v>
      </c>
      <c r="F17" s="7" t="s">
        <v>61</v>
      </c>
      <c r="G17" s="5" t="n">
        <f aca="false">IF(F17="","",LEN(F17))</f>
        <v>122</v>
      </c>
    </row>
    <row r="18" customFormat="false" ht="34.5" hidden="false" customHeight="true" outlineLevel="0" collapsed="false">
      <c r="A18" s="3" t="s">
        <v>48</v>
      </c>
      <c r="B18" s="3" t="s">
        <v>62</v>
      </c>
      <c r="C18" s="4" t="s">
        <v>63</v>
      </c>
      <c r="D18" s="5" t="n">
        <f aca="false">LEN(C18)</f>
        <v>151</v>
      </c>
      <c r="E18" s="6" t="s">
        <v>10</v>
      </c>
      <c r="F18" s="7" t="s">
        <v>64</v>
      </c>
      <c r="G18" s="5" t="n">
        <f aca="false">IF(F18="","",LEN(F18))</f>
        <v>123</v>
      </c>
    </row>
    <row r="19" customFormat="false" ht="23.25" hidden="false" customHeight="true" outlineLevel="0" collapsed="false">
      <c r="A19" s="3" t="s">
        <v>48</v>
      </c>
      <c r="B19" s="3" t="s">
        <v>65</v>
      </c>
      <c r="C19" s="4" t="s">
        <v>66</v>
      </c>
      <c r="D19" s="5" t="n">
        <f aca="false">LEN(C19)</f>
        <v>69</v>
      </c>
      <c r="E19" s="9" t="s">
        <v>51</v>
      </c>
      <c r="F19" s="7" t="s">
        <v>67</v>
      </c>
      <c r="G19" s="5" t="n">
        <f aca="false">IF(F19="","",LEN(F19))</f>
        <v>116</v>
      </c>
    </row>
    <row r="20" customFormat="false" ht="23.25" hidden="false" customHeight="true" outlineLevel="0" collapsed="false">
      <c r="A20" s="3" t="s">
        <v>48</v>
      </c>
      <c r="B20" s="3" t="s">
        <v>68</v>
      </c>
      <c r="C20" s="4" t="s">
        <v>69</v>
      </c>
      <c r="D20" s="5" t="n">
        <f aca="false">LEN(C20)</f>
        <v>84</v>
      </c>
      <c r="E20" s="6" t="s">
        <v>10</v>
      </c>
      <c r="F20" s="7" t="s">
        <v>70</v>
      </c>
      <c r="G20" s="5" t="n">
        <f aca="false">IF(F20="","",LEN(F20))</f>
        <v>120</v>
      </c>
    </row>
    <row r="21" customFormat="false" ht="34.5" hidden="false" customHeight="true" outlineLevel="0" collapsed="false">
      <c r="A21" s="3" t="s">
        <v>48</v>
      </c>
      <c r="B21" s="3" t="s">
        <v>71</v>
      </c>
      <c r="C21" s="4" t="s">
        <v>72</v>
      </c>
      <c r="D21" s="5" t="n">
        <f aca="false">LEN(C21)</f>
        <v>137</v>
      </c>
      <c r="E21" s="6" t="s">
        <v>10</v>
      </c>
      <c r="F21" s="7" t="s">
        <v>73</v>
      </c>
      <c r="G21" s="5" t="n">
        <f aca="false">IF(F21="","",LEN(F21))</f>
        <v>125</v>
      </c>
    </row>
    <row r="22" customFormat="false" ht="23.25" hidden="false" customHeight="true" outlineLevel="0" collapsed="false">
      <c r="A22" s="3" t="s">
        <v>48</v>
      </c>
      <c r="B22" s="3" t="s">
        <v>74</v>
      </c>
      <c r="C22" s="4" t="s">
        <v>75</v>
      </c>
      <c r="D22" s="5" t="n">
        <f aca="false">LEN(C22)</f>
        <v>88</v>
      </c>
      <c r="E22" s="6" t="s">
        <v>10</v>
      </c>
      <c r="F22" s="7" t="s">
        <v>76</v>
      </c>
      <c r="G22" s="5" t="n">
        <f aca="false">IF(F22="","",LEN(F22))</f>
        <v>117</v>
      </c>
    </row>
    <row r="23" customFormat="false" ht="23.25" hidden="false" customHeight="true" outlineLevel="0" collapsed="false">
      <c r="A23" s="3" t="s">
        <v>48</v>
      </c>
      <c r="B23" s="3" t="s">
        <v>77</v>
      </c>
      <c r="C23" s="4" t="s">
        <v>78</v>
      </c>
      <c r="D23" s="5" t="n">
        <f aca="false">LEN(C23)</f>
        <v>80</v>
      </c>
      <c r="E23" s="6" t="s">
        <v>10</v>
      </c>
      <c r="F23" s="7" t="s">
        <v>79</v>
      </c>
      <c r="G23" s="5" t="n">
        <f aca="false">IF(F23="","",LEN(F23))</f>
        <v>120</v>
      </c>
    </row>
    <row r="24" customFormat="false" ht="23.25" hidden="false" customHeight="true" outlineLevel="0" collapsed="false">
      <c r="A24" s="3" t="s">
        <v>48</v>
      </c>
      <c r="B24" s="3" t="s">
        <v>80</v>
      </c>
      <c r="C24" s="4" t="s">
        <v>81</v>
      </c>
      <c r="D24" s="5" t="n">
        <f aca="false">LEN(C24)</f>
        <v>98</v>
      </c>
      <c r="E24" s="6" t="s">
        <v>10</v>
      </c>
      <c r="F24" s="7" t="s">
        <v>82</v>
      </c>
      <c r="G24" s="5" t="n">
        <f aca="false">IF(F24="","",LEN(F24))</f>
        <v>129</v>
      </c>
    </row>
    <row r="25" customFormat="false" ht="23.25" hidden="false" customHeight="true" outlineLevel="0" collapsed="false">
      <c r="A25" s="3" t="s">
        <v>48</v>
      </c>
      <c r="B25" s="3" t="s">
        <v>83</v>
      </c>
      <c r="C25" s="4" t="s">
        <v>84</v>
      </c>
      <c r="D25" s="5" t="n">
        <f aca="false">LEN(C25)</f>
        <v>105</v>
      </c>
      <c r="E25" s="6" t="s">
        <v>10</v>
      </c>
      <c r="F25" s="7" t="s">
        <v>85</v>
      </c>
      <c r="G25" s="5" t="n">
        <f aca="false">IF(F25="","",LEN(F25))</f>
        <v>118</v>
      </c>
    </row>
    <row r="26" customFormat="false" ht="15" hidden="false" customHeight="true" outlineLevel="0" collapsed="false">
      <c r="A26" s="3" t="s">
        <v>48</v>
      </c>
      <c r="B26" s="3" t="s">
        <v>86</v>
      </c>
      <c r="C26" s="4"/>
      <c r="D26" s="5" t="n">
        <f aca="false">LEN(C26)</f>
        <v>0</v>
      </c>
      <c r="E26" s="8" t="s">
        <v>24</v>
      </c>
      <c r="F26" s="7" t="s">
        <v>87</v>
      </c>
      <c r="G26" s="5" t="n">
        <f aca="false">IF(F26="","",LEN(F26))</f>
        <v>82</v>
      </c>
    </row>
    <row r="27" customFormat="false" ht="23.25" hidden="false" customHeight="true" outlineLevel="0" collapsed="false">
      <c r="A27" s="3" t="s">
        <v>48</v>
      </c>
      <c r="B27" s="3" t="s">
        <v>88</v>
      </c>
      <c r="C27" s="4" t="s">
        <v>89</v>
      </c>
      <c r="D27" s="5" t="n">
        <f aca="false">LEN(C27)</f>
        <v>113</v>
      </c>
      <c r="E27" s="6" t="s">
        <v>10</v>
      </c>
      <c r="F27" s="7" t="s">
        <v>90</v>
      </c>
      <c r="G27" s="5" t="n">
        <f aca="false">IF(F27="","",LEN(F27))</f>
        <v>124</v>
      </c>
    </row>
    <row r="28" customFormat="false" ht="23.25" hidden="false" customHeight="true" outlineLevel="0" collapsed="false">
      <c r="A28" s="3" t="s">
        <v>48</v>
      </c>
      <c r="B28" s="3" t="s">
        <v>91</v>
      </c>
      <c r="C28" s="4" t="s">
        <v>92</v>
      </c>
      <c r="D28" s="5" t="n">
        <f aca="false">LEN(C28)</f>
        <v>79</v>
      </c>
      <c r="E28" s="9" t="s">
        <v>51</v>
      </c>
      <c r="F28" s="7" t="s">
        <v>93</v>
      </c>
      <c r="G28" s="5" t="n">
        <f aca="false">IF(F28="","",LEN(F28))</f>
        <v>122</v>
      </c>
    </row>
    <row r="29" customFormat="false" ht="23.25" hidden="false" customHeight="true" outlineLevel="0" collapsed="false">
      <c r="A29" s="3" t="s">
        <v>48</v>
      </c>
      <c r="B29" s="3" t="s">
        <v>94</v>
      </c>
      <c r="C29" s="4" t="s">
        <v>95</v>
      </c>
      <c r="D29" s="5" t="n">
        <f aca="false">LEN(C29)</f>
        <v>107</v>
      </c>
      <c r="E29" s="6" t="s">
        <v>10</v>
      </c>
      <c r="F29" s="7" t="s">
        <v>96</v>
      </c>
      <c r="G29" s="5" t="n">
        <f aca="false">IF(F29="","",LEN(F29))</f>
        <v>118</v>
      </c>
    </row>
    <row r="30" customFormat="false" ht="23.25" hidden="false" customHeight="true" outlineLevel="0" collapsed="false">
      <c r="A30" s="3" t="s">
        <v>48</v>
      </c>
      <c r="B30" s="3" t="s">
        <v>97</v>
      </c>
      <c r="C30" s="4" t="s">
        <v>98</v>
      </c>
      <c r="D30" s="5" t="n">
        <f aca="false">LEN(C30)</f>
        <v>89</v>
      </c>
      <c r="E30" s="6" t="s">
        <v>10</v>
      </c>
      <c r="F30" s="7" t="s">
        <v>99</v>
      </c>
      <c r="G30" s="5" t="n">
        <f aca="false">IF(F30="","",LEN(F30))</f>
        <v>125</v>
      </c>
    </row>
    <row r="31" customFormat="false" ht="23.25" hidden="false" customHeight="true" outlineLevel="0" collapsed="false">
      <c r="A31" s="3" t="s">
        <v>48</v>
      </c>
      <c r="B31" s="3" t="s">
        <v>100</v>
      </c>
      <c r="C31" s="4" t="s">
        <v>101</v>
      </c>
      <c r="D31" s="5" t="n">
        <f aca="false">LEN(C31)</f>
        <v>104</v>
      </c>
      <c r="E31" s="6" t="s">
        <v>10</v>
      </c>
      <c r="F31" s="7" t="s">
        <v>102</v>
      </c>
      <c r="G31" s="5" t="n">
        <f aca="false">IF(F31="","",LEN(F31))</f>
        <v>116</v>
      </c>
    </row>
    <row r="32" customFormat="false" ht="23.25" hidden="false" customHeight="true" outlineLevel="0" collapsed="false">
      <c r="A32" s="3" t="s">
        <v>48</v>
      </c>
      <c r="B32" s="3" t="s">
        <v>103</v>
      </c>
      <c r="C32" s="4" t="s">
        <v>104</v>
      </c>
      <c r="D32" s="5" t="n">
        <f aca="false">LEN(C32)</f>
        <v>105</v>
      </c>
      <c r="E32" s="6" t="s">
        <v>10</v>
      </c>
      <c r="F32" s="7" t="s">
        <v>105</v>
      </c>
      <c r="G32" s="5" t="n">
        <f aca="false">IF(F32="","",LEN(F32))</f>
        <v>127</v>
      </c>
    </row>
    <row r="33" customFormat="false" ht="23.25" hidden="false" customHeight="true" outlineLevel="0" collapsed="false">
      <c r="A33" s="3" t="s">
        <v>48</v>
      </c>
      <c r="B33" s="3" t="s">
        <v>106</v>
      </c>
      <c r="C33" s="4" t="s">
        <v>107</v>
      </c>
      <c r="D33" s="5" t="n">
        <f aca="false">LEN(C33)</f>
        <v>94</v>
      </c>
      <c r="E33" s="6" t="s">
        <v>10</v>
      </c>
      <c r="F33" s="7" t="s">
        <v>108</v>
      </c>
      <c r="G33" s="5" t="n">
        <f aca="false">IF(F33="","",LEN(F33))</f>
        <v>115</v>
      </c>
    </row>
    <row r="34" customFormat="false" ht="23.25" hidden="false" customHeight="true" outlineLevel="0" collapsed="false">
      <c r="A34" s="3" t="s">
        <v>48</v>
      </c>
      <c r="B34" s="3" t="s">
        <v>109</v>
      </c>
      <c r="C34" s="4" t="s">
        <v>110</v>
      </c>
      <c r="D34" s="5" t="n">
        <f aca="false">LEN(C34)</f>
        <v>85</v>
      </c>
      <c r="E34" s="6" t="s">
        <v>10</v>
      </c>
      <c r="F34" s="7" t="s">
        <v>111</v>
      </c>
      <c r="G34" s="5" t="n">
        <f aca="false">IF(F34="","",LEN(F34))</f>
        <v>115</v>
      </c>
    </row>
    <row r="35" customFormat="false" ht="23.25" hidden="false" customHeight="true" outlineLevel="0" collapsed="false">
      <c r="A35" s="3" t="s">
        <v>48</v>
      </c>
      <c r="B35" s="3" t="s">
        <v>112</v>
      </c>
      <c r="C35" s="4" t="s">
        <v>113</v>
      </c>
      <c r="D35" s="5" t="n">
        <f aca="false">LEN(C35)</f>
        <v>96</v>
      </c>
      <c r="E35" s="6" t="s">
        <v>10</v>
      </c>
      <c r="F35" s="7" t="s">
        <v>114</v>
      </c>
      <c r="G35" s="5" t="n">
        <f aca="false">IF(F35="","",LEN(F35))</f>
        <v>124</v>
      </c>
    </row>
    <row r="36" customFormat="false" ht="34.5" hidden="false" customHeight="true" outlineLevel="0" collapsed="false">
      <c r="A36" s="3" t="s">
        <v>48</v>
      </c>
      <c r="B36" s="3" t="s">
        <v>115</v>
      </c>
      <c r="C36" s="4" t="s">
        <v>116</v>
      </c>
      <c r="D36" s="5" t="n">
        <f aca="false">LEN(C36)</f>
        <v>143</v>
      </c>
      <c r="E36" s="6" t="s">
        <v>10</v>
      </c>
      <c r="F36" s="7" t="s">
        <v>117</v>
      </c>
      <c r="G36" s="5" t="n">
        <f aca="false">IF(F36="","",LEN(F36))</f>
        <v>124</v>
      </c>
    </row>
    <row r="37" customFormat="false" ht="23.25" hidden="false" customHeight="true" outlineLevel="0" collapsed="false">
      <c r="A37" s="3" t="s">
        <v>48</v>
      </c>
      <c r="B37" s="3" t="s">
        <v>118</v>
      </c>
      <c r="C37" s="4" t="s">
        <v>119</v>
      </c>
      <c r="D37" s="5" t="n">
        <f aca="false">LEN(C37)</f>
        <v>97</v>
      </c>
      <c r="E37" s="6" t="s">
        <v>10</v>
      </c>
      <c r="F37" s="7" t="s">
        <v>120</v>
      </c>
      <c r="G37" s="5" t="n">
        <f aca="false">IF(F37="","",LEN(F37))</f>
        <v>120</v>
      </c>
    </row>
    <row r="38" customFormat="false" ht="34.5" hidden="false" customHeight="true" outlineLevel="0" collapsed="false">
      <c r="A38" s="3" t="s">
        <v>48</v>
      </c>
      <c r="B38" s="3" t="s">
        <v>121</v>
      </c>
      <c r="C38" s="4" t="s">
        <v>122</v>
      </c>
      <c r="D38" s="5" t="n">
        <f aca="false">LEN(C38)</f>
        <v>147</v>
      </c>
      <c r="E38" s="6" t="s">
        <v>10</v>
      </c>
      <c r="F38" s="7" t="s">
        <v>123</v>
      </c>
      <c r="G38" s="5" t="n">
        <f aca="false">IF(F38="","",LEN(F38))</f>
        <v>124</v>
      </c>
    </row>
    <row r="39" customFormat="false" ht="15" hidden="false" customHeight="true" outlineLevel="0" collapsed="false">
      <c r="A39" s="3" t="s">
        <v>48</v>
      </c>
      <c r="B39" s="3" t="s">
        <v>124</v>
      </c>
      <c r="C39" s="4"/>
      <c r="D39" s="5" t="n">
        <f aca="false">LEN(C39)</f>
        <v>0</v>
      </c>
      <c r="E39" s="8" t="s">
        <v>24</v>
      </c>
      <c r="F39" s="7" t="s">
        <v>125</v>
      </c>
      <c r="G39" s="5" t="n">
        <f aca="false">IF(F39="","",LEN(F39))</f>
        <v>124</v>
      </c>
    </row>
    <row r="40" customFormat="false" ht="23.25" hidden="false" customHeight="true" outlineLevel="0" collapsed="false">
      <c r="A40" s="3" t="s">
        <v>48</v>
      </c>
      <c r="B40" s="3" t="s">
        <v>126</v>
      </c>
      <c r="C40" s="4" t="s">
        <v>127</v>
      </c>
      <c r="D40" s="5" t="n">
        <f aca="false">LEN(C40)</f>
        <v>87</v>
      </c>
      <c r="E40" s="6" t="s">
        <v>10</v>
      </c>
      <c r="F40" s="7" t="s">
        <v>128</v>
      </c>
      <c r="G40" s="5" t="n">
        <f aca="false">IF(F40="","",LEN(F40))</f>
        <v>122</v>
      </c>
    </row>
    <row r="41" customFormat="false" ht="23.25" hidden="false" customHeight="true" outlineLevel="0" collapsed="false">
      <c r="A41" s="3" t="s">
        <v>48</v>
      </c>
      <c r="B41" s="3" t="s">
        <v>129</v>
      </c>
      <c r="C41" s="4" t="s">
        <v>130</v>
      </c>
      <c r="D41" s="5" t="n">
        <f aca="false">LEN(C41)</f>
        <v>130</v>
      </c>
      <c r="E41" s="6" t="s">
        <v>10</v>
      </c>
      <c r="F41" s="7" t="s">
        <v>131</v>
      </c>
      <c r="G41" s="5" t="n">
        <f aca="false">IF(F41="","",LEN(F41))</f>
        <v>122</v>
      </c>
    </row>
    <row r="42" customFormat="false" ht="23.25" hidden="false" customHeight="true" outlineLevel="0" collapsed="false">
      <c r="A42" s="3" t="s">
        <v>48</v>
      </c>
      <c r="B42" s="3" t="s">
        <v>132</v>
      </c>
      <c r="C42" s="4" t="s">
        <v>133</v>
      </c>
      <c r="D42" s="5" t="n">
        <f aca="false">LEN(C42)</f>
        <v>81</v>
      </c>
      <c r="E42" s="6" t="s">
        <v>10</v>
      </c>
      <c r="F42" s="7" t="s">
        <v>134</v>
      </c>
      <c r="G42" s="5" t="n">
        <f aca="false">IF(F42="","",LEN(F42))</f>
        <v>117</v>
      </c>
    </row>
  </sheetData>
  <autoFilter ref="A1:G42"/>
  <conditionalFormatting sqref="G2:G42">
    <cfRule type="cellIs" priority="2" operator="greaterThan" aboveAverage="0" equalAverage="0" bottom="0" percent="0" rank="0" text="" dxfId="7">
      <formula>155</formula>
    </cfRule>
    <cfRule type="cellIs" priority="3" operator="lessThan" aboveAverage="0" equalAverage="0" bottom="0" percent="0" rank="0" text="" dxfId="8">
      <formula>80</formula>
    </cfRule>
    <cfRule type="cellIs" priority="4" operator="between" aboveAverage="0" equalAverage="0" bottom="0" percent="0" rank="0" text="" dxfId="9">
      <formula>80</formula>
      <formula>155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</cols>
  <sheetData>
    <row r="1" customFormat="false" ht="15" hidden="false" customHeight="true" outlineLevel="0" collapsed="false">
      <c r="A1" s="10" t="s">
        <v>135</v>
      </c>
      <c r="B1" s="10"/>
    </row>
    <row r="2" customFormat="false" ht="15" hidden="false" customHeight="true" outlineLevel="0" collapsed="false">
      <c r="A2" s="11" t="s">
        <v>136</v>
      </c>
      <c r="B2" s="11" t="n">
        <f aca="false">COUNTA('Meta descriptions'!B2:B200)</f>
        <v>41</v>
      </c>
    </row>
    <row r="3" customFormat="false" ht="15" hidden="false" customHeight="true" outlineLevel="0" collapsed="false">
      <c r="A3" s="11" t="s">
        <v>137</v>
      </c>
      <c r="B3" s="11" t="n">
        <f aca="false">COUNTIF('Meta descriptions'!E2:E200,"OK")</f>
        <v>33</v>
      </c>
    </row>
    <row r="4" customFormat="false" ht="15" hidden="false" customHeight="true" outlineLevel="0" collapsed="false">
      <c r="A4" s="11" t="s">
        <v>138</v>
      </c>
      <c r="B4" s="11" t="n">
        <f aca="false">COUNTIF('Meta descriptions'!E2:E200,"Kort (&lt;80)")</f>
        <v>5</v>
      </c>
    </row>
    <row r="5" customFormat="false" ht="15" hidden="false" customHeight="true" outlineLevel="0" collapsed="false">
      <c r="A5" s="11" t="s">
        <v>139</v>
      </c>
      <c r="B5" s="11" t="n">
        <f aca="false">COUNTIF('Meta descriptions'!E2:E200,"Lång (&gt;155)")</f>
        <v>0</v>
      </c>
    </row>
    <row r="6" customFormat="false" ht="15" hidden="false" customHeight="true" outlineLevel="0" collapsed="false">
      <c r="A6" s="11" t="s">
        <v>140</v>
      </c>
      <c r="B6" s="11" t="n">
        <f aca="false">COUNTIF('Meta descriptions'!E2:E200,"Saknas")</f>
        <v>3</v>
      </c>
    </row>
    <row r="7" customFormat="false" ht="15" hidden="false" customHeight="true" outlineLevel="0" collapsed="false">
      <c r="A7" s="11" t="s">
        <v>141</v>
      </c>
      <c r="B7" s="11" t="n">
        <f aca="false">COUNTIF('Meta descriptions'!E2:E200,"Dubblett (ledande mellanslag)")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2026-04-19T12:45:08Z</dcterms:created>
  <dc:creator>openpyxl</dc:creator>
  <dc:description/>
  <dc:language>en-US</dc:language>
  <cp:lastModifiedBy/>
  <dcterms:modified xsi:type="dcterms:W3CDTF">2026-04-19T13:46:15Z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